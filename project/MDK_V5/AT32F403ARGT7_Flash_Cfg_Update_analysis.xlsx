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<sst xmlns="http://schemas.openxmlformats.org/spreadsheetml/2006/main" count="60" uniqueCount="44">
  <si>
    <t>AT32F403ARGT7_Flash_Cfg_Update</t>
  </si>
  <si>
    <t>startup_at32f403a_407.o</t>
  </si>
  <si>
    <t>app_flash_simple.o</t>
  </si>
  <si>
    <t>mc_w.l</t>
  </si>
  <si>
    <t>stdout.o</t>
  </si>
  <si>
    <t>wk_system.o</t>
  </si>
  <si>
    <t>system_at32f403a_407.o</t>
  </si>
  <si>
    <t>drv_crc32.o</t>
  </si>
  <si>
    <t>at32f403a_407_flash.o</t>
  </si>
  <si>
    <t>printf6.o</t>
  </si>
  <si>
    <t>at32f403a_407_crm.o</t>
  </si>
  <si>
    <t>drv_flash.o</t>
  </si>
  <si>
    <t>at32f403a_407_usart.o</t>
  </si>
  <si>
    <t>at32f403a_407_wk_config.o</t>
  </si>
  <si>
    <t>at32f403a_407_gpio.o</t>
  </si>
  <si>
    <t>at32f403a_407_crc.o</t>
  </si>
  <si>
    <t>wk_usart.o</t>
  </si>
  <si>
    <t>at32f403a_407_misc.o</t>
  </si>
  <si>
    <t>init.o</t>
  </si>
  <si>
    <t>wk_crc.o</t>
  </si>
  <si>
    <t>uidiv.o</t>
  </si>
  <si>
    <t>puts.o</t>
  </si>
  <si>
    <t>memseta.o</t>
  </si>
  <si>
    <t>memcpya.o</t>
  </si>
  <si>
    <t>main.o</t>
  </si>
  <si>
    <t>handlers.o</t>
  </si>
  <si>
    <t>debug.o</t>
  </si>
  <si>
    <t>memcmp.o</t>
  </si>
  <si>
    <t>at32f403a_407_pwc.o</t>
  </si>
  <si>
    <t>at32f403a_407_int.o</t>
  </si>
  <si>
    <t>wk_debug.o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</si>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</sst>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ram_percent!$A$3:$A$36</c:f>
              <c:strCache>
                <c:ptCount val="34"/>
                <c:pt idx="0">
                  <c:v>startup_at32f403a_407.o</c:v>
                </c:pt>
                <c:pt idx="1">
                  <c:v>app_flash_simple.o</c:v>
                </c:pt>
                <c:pt idx="2">
                  <c:v>mc_w.l</c:v>
                </c:pt>
                <c:pt idx="3">
                  <c:v>stdout.o</c:v>
                </c:pt>
                <c:pt idx="4">
                  <c:v>wk_system.o</c:v>
                </c:pt>
                <c:pt idx="5">
                  <c:v>system_at32f403a_407.o</c:v>
                </c:pt>
                <c:pt idx="6">
                  <c:v>drv_crc32.o</c:v>
                </c:pt>
                <c:pt idx="33">
                  <c:v>Totals</c:v>
                </c:pt>
              </c:strCache>
            </c:strRef>
          </c:cat>
          <c:val>
            <c:numRef>
              <c:f>ram_percent!$B$3:$B$36</c:f>
              <c:numCache>
                <c:formatCode>General</c:formatCode>
                <c:ptCount val="34"/>
                <c:pt idx="0">
                  <c:v>88.52388000488281</c:v>
                </c:pt>
                <c:pt idx="1">
                  <c:v>11.10870933532715</c:v>
                </c:pt>
                <c:pt idx="2">
                  <c:v>0.08644910156726837</c:v>
                </c:pt>
                <c:pt idx="3">
                  <c:v>0.08644910156726837</c:v>
                </c:pt>
                <c:pt idx="4">
                  <c:v>0.08644910156726837</c:v>
                </c:pt>
                <c:pt idx="5">
                  <c:v>0.08644910156726837</c:v>
                </c:pt>
                <c:pt idx="6">
                  <c:v>0.02161227539181709</c:v>
                </c:pt>
                <c:pt idx="3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flash_percent!$A$3:$A$36</c:f>
              <c:strCache>
                <c:ptCount val="34"/>
                <c:pt idx="0">
                  <c:v>app_flash_simple.o</c:v>
                </c:pt>
                <c:pt idx="1">
                  <c:v>mc_w.l</c:v>
                </c:pt>
                <c:pt idx="2">
                  <c:v>at32f403a_407_flash.o</c:v>
                </c:pt>
                <c:pt idx="3">
                  <c:v>printf6.o</c:v>
                </c:pt>
                <c:pt idx="4">
                  <c:v>at32f403a_407_crm.o</c:v>
                </c:pt>
                <c:pt idx="5">
                  <c:v>drv_flash.o</c:v>
                </c:pt>
                <c:pt idx="6">
                  <c:v>startup_at32f403a_407.o</c:v>
                </c:pt>
                <c:pt idx="7">
                  <c:v>at32f403a_407_usart.o</c:v>
                </c:pt>
                <c:pt idx="8">
                  <c:v>at32f403a_407_wk_config.o</c:v>
                </c:pt>
                <c:pt idx="9">
                  <c:v>system_at32f403a_407.o</c:v>
                </c:pt>
                <c:pt idx="10">
                  <c:v>at32f403a_407_gpio.o</c:v>
                </c:pt>
                <c:pt idx="11">
                  <c:v>at32f403a_407_crc.o</c:v>
                </c:pt>
                <c:pt idx="12">
                  <c:v>drv_crc32.o</c:v>
                </c:pt>
                <c:pt idx="13">
                  <c:v>wk_system.o</c:v>
                </c:pt>
                <c:pt idx="14">
                  <c:v>wk_usart.o</c:v>
                </c:pt>
                <c:pt idx="15">
                  <c:v>at32f403a_407_misc.o</c:v>
                </c:pt>
                <c:pt idx="16">
                  <c:v>init.o</c:v>
                </c:pt>
                <c:pt idx="17">
                  <c:v>wk_crc.o</c:v>
                </c:pt>
                <c:pt idx="18">
                  <c:v>uidiv.o</c:v>
                </c:pt>
                <c:pt idx="19">
                  <c:v>puts.o</c:v>
                </c:pt>
                <c:pt idx="20">
                  <c:v>memseta.o</c:v>
                </c:pt>
                <c:pt idx="21">
                  <c:v>memcpya.o</c:v>
                </c:pt>
                <c:pt idx="22">
                  <c:v>main.o</c:v>
                </c:pt>
                <c:pt idx="23">
                  <c:v>handlers.o</c:v>
                </c:pt>
                <c:pt idx="24">
                  <c:v>debug.o</c:v>
                </c:pt>
                <c:pt idx="25">
                  <c:v>memcmp.o</c:v>
                </c:pt>
                <c:pt idx="26">
                  <c:v>at32f403a_407_pwc.o</c:v>
                </c:pt>
                <c:pt idx="27">
                  <c:v>at32f403a_407_int.o</c:v>
                </c:pt>
                <c:pt idx="28">
                  <c:v>wk_debug.o</c:v>
                </c:pt>
                <c:pt idx="29">
                  <c:v>entry9a.o</c:v>
                </c:pt>
                <c:pt idx="30">
                  <c:v>entry2.o</c:v>
                </c:pt>
                <c:pt idx="31">
                  <c:v>stdout.o</c:v>
                </c:pt>
                <c:pt idx="32">
                  <c:v>entry5.o</c:v>
                </c:pt>
                <c:pt idx="33">
                  <c:v>Totals</c:v>
                </c:pt>
              </c:strCache>
            </c:strRef>
          </c:cat>
          <c:val>
            <c:numRef>
              <c:f>flash_percent!$B$3:$B$36</c:f>
              <c:numCache>
                <c:formatCode>General</c:formatCode>
                <c:ptCount val="34"/>
                <c:pt idx="0">
                  <c:v>34.26868438720703</c:v>
                </c:pt>
                <c:pt idx="1">
                  <c:v>10.50894069671631</c:v>
                </c:pt>
                <c:pt idx="2">
                  <c:v>9.55525016784668</c:v>
                </c:pt>
                <c:pt idx="3">
                  <c:v>7.941311359405518</c:v>
                </c:pt>
                <c:pt idx="4">
                  <c:v>7.354424476623535</c:v>
                </c:pt>
                <c:pt idx="5">
                  <c:v>5.923888206481934</c:v>
                </c:pt>
                <c:pt idx="6">
                  <c:v>3.888124704360962</c:v>
                </c:pt>
                <c:pt idx="7">
                  <c:v>3.246217250823975</c:v>
                </c:pt>
                <c:pt idx="8">
                  <c:v>3.08115553855896</c:v>
                </c:pt>
                <c:pt idx="9">
                  <c:v>2.56762957572937</c:v>
                </c:pt>
                <c:pt idx="10">
                  <c:v>2.494268655776978</c:v>
                </c:pt>
                <c:pt idx="11">
                  <c:v>1.33883535861969</c:v>
                </c:pt>
                <c:pt idx="12">
                  <c:v>1.228794097900391</c:v>
                </c:pt>
                <c:pt idx="13">
                  <c:v>1.100412607192993</c:v>
                </c:pt>
                <c:pt idx="14">
                  <c:v>0.8803301453590393</c:v>
                </c:pt>
                <c:pt idx="15">
                  <c:v>0.5135259032249451</c:v>
                </c:pt>
                <c:pt idx="16">
                  <c:v>0.4401650726795197</c:v>
                </c:pt>
                <c:pt idx="17">
                  <c:v>0.4401650726795197</c:v>
                </c:pt>
                <c:pt idx="18">
                  <c:v>0.4034846425056458</c:v>
                </c:pt>
                <c:pt idx="19">
                  <c:v>0.330123782157898</c:v>
                </c:pt>
                <c:pt idx="20">
                  <c:v>0.330123782157898</c:v>
                </c:pt>
                <c:pt idx="21">
                  <c:v>0.330123782157898</c:v>
                </c:pt>
                <c:pt idx="22">
                  <c:v>0.3117835819721222</c:v>
                </c:pt>
                <c:pt idx="23">
                  <c:v>0.2751031517982483</c:v>
                </c:pt>
                <c:pt idx="24">
                  <c:v>0.2567629516124725</c:v>
                </c:pt>
                <c:pt idx="25">
                  <c:v>0.2384227365255356</c:v>
                </c:pt>
                <c:pt idx="26">
                  <c:v>0.2384227365255356</c:v>
                </c:pt>
                <c:pt idx="27">
                  <c:v>0.165061891078949</c:v>
                </c:pt>
                <c:pt idx="28">
                  <c:v>0.1283814758062363</c:v>
                </c:pt>
                <c:pt idx="29">
                  <c:v>0.07336084544658661</c:v>
                </c:pt>
                <c:pt idx="30">
                  <c:v>0.07336084544658661</c:v>
                </c:pt>
                <c:pt idx="31">
                  <c:v>0.0366804227232933</c:v>
                </c:pt>
                <c:pt idx="32">
                  <c:v>0.0366804227232933</c:v>
                </c:pt>
                <c:pt idx="3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6" totalsRowCount="1">
  <autoFilter ref="A2:H35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6" totalsRowCount="1">
  <autoFilter ref="A2:H35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6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34</v>
      </c>
      <c r="B2" t="s">
        <v>36</v>
      </c>
      <c r="C2" t="s">
        <v>37</v>
      </c>
      <c r="D2" t="s">
        <v>38</v>
      </c>
      <c r="E2" t="s">
        <v>39</v>
      </c>
      <c r="F2" t="s">
        <v>40</v>
      </c>
      <c r="G2" t="s">
        <v>41</v>
      </c>
      <c r="H2" t="s">
        <v>42</v>
      </c>
    </row>
    <row r="3" spans="1:8">
      <c r="A3" s="1" t="s">
        <v>1</v>
      </c>
      <c r="B3" s="2">
        <v>88.52388000488281</v>
      </c>
      <c r="C3" s="1">
        <v>4096</v>
      </c>
      <c r="D3" s="1">
        <v>424</v>
      </c>
      <c r="E3" s="1">
        <v>36</v>
      </c>
      <c r="F3" s="1">
        <v>388</v>
      </c>
      <c r="G3" s="1">
        <v>0</v>
      </c>
      <c r="H3" s="1">
        <v>4096</v>
      </c>
    </row>
    <row r="4" spans="1:8">
      <c r="A4" s="1" t="s">
        <v>2</v>
      </c>
      <c r="B4" s="2">
        <v>11.10870933532715</v>
      </c>
      <c r="C4" s="1">
        <v>514</v>
      </c>
      <c r="D4" s="1">
        <v>3737</v>
      </c>
      <c r="E4" s="1">
        <v>1518</v>
      </c>
      <c r="F4" s="1">
        <v>2219</v>
      </c>
      <c r="G4" s="1">
        <v>0</v>
      </c>
      <c r="H4" s="1">
        <v>514</v>
      </c>
    </row>
    <row r="5" spans="1:8">
      <c r="A5" s="1" t="s">
        <v>3</v>
      </c>
      <c r="B5" s="2">
        <v>0.08644910156726837</v>
      </c>
      <c r="C5" s="1">
        <v>4</v>
      </c>
      <c r="D5" s="1">
        <v>1146</v>
      </c>
      <c r="E5" s="1">
        <v>1142</v>
      </c>
      <c r="F5" s="1">
        <v>0</v>
      </c>
      <c r="G5" s="1">
        <v>4</v>
      </c>
      <c r="H5" s="1">
        <v>0</v>
      </c>
    </row>
    <row r="6" spans="1:8">
      <c r="A6" s="1" t="s">
        <v>4</v>
      </c>
      <c r="B6" s="2">
        <v>0.08644910156726837</v>
      </c>
      <c r="C6" s="1">
        <v>4</v>
      </c>
      <c r="D6" s="1">
        <v>4</v>
      </c>
      <c r="E6" s="1">
        <v>0</v>
      </c>
      <c r="F6" s="1">
        <v>0</v>
      </c>
      <c r="G6" s="1">
        <v>4</v>
      </c>
      <c r="H6" s="1">
        <v>0</v>
      </c>
    </row>
    <row r="7" spans="1:8">
      <c r="A7" s="1" t="s">
        <v>5</v>
      </c>
      <c r="B7" s="2">
        <v>0.08644910156726837</v>
      </c>
      <c r="C7" s="1">
        <v>4</v>
      </c>
      <c r="D7" s="1">
        <v>120</v>
      </c>
      <c r="E7" s="1">
        <v>120</v>
      </c>
      <c r="F7" s="1">
        <v>0</v>
      </c>
      <c r="G7" s="1">
        <v>0</v>
      </c>
      <c r="H7" s="1">
        <v>4</v>
      </c>
    </row>
    <row r="8" spans="1:8">
      <c r="A8" s="1" t="s">
        <v>6</v>
      </c>
      <c r="B8" s="2">
        <v>0.08644910156726837</v>
      </c>
      <c r="C8" s="1">
        <v>4</v>
      </c>
      <c r="D8" s="1">
        <v>280</v>
      </c>
      <c r="E8" s="1">
        <v>276</v>
      </c>
      <c r="F8" s="1">
        <v>0</v>
      </c>
      <c r="G8" s="1">
        <v>4</v>
      </c>
      <c r="H8" s="1">
        <v>0</v>
      </c>
    </row>
    <row r="9" spans="1:8">
      <c r="A9" s="1" t="s">
        <v>7</v>
      </c>
      <c r="B9" s="2">
        <v>0.02161227539181709</v>
      </c>
      <c r="C9" s="1">
        <v>1</v>
      </c>
      <c r="D9" s="1">
        <v>134</v>
      </c>
      <c r="E9" s="1">
        <v>134</v>
      </c>
      <c r="F9" s="1">
        <v>0</v>
      </c>
      <c r="G9" s="1">
        <v>0</v>
      </c>
      <c r="H9" s="1">
        <v>1</v>
      </c>
    </row>
    <row r="36" spans="1:8">
      <c r="A36" t="s">
        <v>35</v>
      </c>
      <c r="B36">
        <f>SUBTOTAL(109,[ram_percent])</f>
        <v>0</v>
      </c>
      <c r="C36">
        <f>SUBTOTAL(109,[ram])</f>
        <v>0</v>
      </c>
      <c r="D36">
        <f>SUBTOTAL(109,[flash])</f>
        <v>0</v>
      </c>
      <c r="E36">
        <f>SUBTOTAL(109,[Code])</f>
        <v>0</v>
      </c>
      <c r="F36">
        <f>SUBTOTAL(109,[RO_data])</f>
        <v>0</v>
      </c>
      <c r="G36">
        <f>SUBTOTAL(109,[RW_data])</f>
        <v>0</v>
      </c>
      <c r="H3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6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34</v>
      </c>
      <c r="B2" t="s">
        <v>43</v>
      </c>
      <c r="C2" t="s">
        <v>38</v>
      </c>
      <c r="D2" t="s">
        <v>37</v>
      </c>
      <c r="E2" t="s">
        <v>39</v>
      </c>
      <c r="F2" t="s">
        <v>40</v>
      </c>
      <c r="G2" t="s">
        <v>41</v>
      </c>
      <c r="H2" t="s">
        <v>42</v>
      </c>
    </row>
    <row r="3" spans="1:8">
      <c r="A3" s="1" t="s">
        <v>2</v>
      </c>
      <c r="B3" s="2">
        <v>34.26868438720703</v>
      </c>
      <c r="C3" s="1">
        <v>3737</v>
      </c>
      <c r="D3" s="1">
        <v>514</v>
      </c>
      <c r="E3" s="1">
        <v>1518</v>
      </c>
      <c r="F3" s="1">
        <v>2219</v>
      </c>
      <c r="G3" s="1">
        <v>0</v>
      </c>
      <c r="H3" s="1">
        <v>514</v>
      </c>
    </row>
    <row r="4" spans="1:8">
      <c r="A4" s="1" t="s">
        <v>3</v>
      </c>
      <c r="B4" s="2">
        <v>10.50894069671631</v>
      </c>
      <c r="C4" s="1">
        <v>1146</v>
      </c>
      <c r="D4" s="1">
        <v>4</v>
      </c>
      <c r="E4" s="1">
        <v>1142</v>
      </c>
      <c r="F4" s="1">
        <v>0</v>
      </c>
      <c r="G4" s="1">
        <v>4</v>
      </c>
      <c r="H4" s="1">
        <v>0</v>
      </c>
    </row>
    <row r="5" spans="1:8">
      <c r="A5" s="1" t="s">
        <v>8</v>
      </c>
      <c r="B5" s="2">
        <v>9.55525016784668</v>
      </c>
      <c r="C5" s="1">
        <v>1042</v>
      </c>
      <c r="D5" s="1">
        <v>0</v>
      </c>
      <c r="E5" s="1">
        <v>1042</v>
      </c>
      <c r="F5" s="1">
        <v>0</v>
      </c>
      <c r="G5" s="1">
        <v>0</v>
      </c>
      <c r="H5" s="1">
        <v>0</v>
      </c>
    </row>
    <row r="6" spans="1:8">
      <c r="A6" s="1" t="s">
        <v>9</v>
      </c>
      <c r="B6" s="2">
        <v>7.941311359405518</v>
      </c>
      <c r="C6" s="1">
        <v>866</v>
      </c>
      <c r="D6" s="1">
        <v>0</v>
      </c>
      <c r="E6" s="1">
        <v>866</v>
      </c>
      <c r="F6" s="1">
        <v>0</v>
      </c>
      <c r="G6" s="1">
        <v>0</v>
      </c>
      <c r="H6" s="1">
        <v>0</v>
      </c>
    </row>
    <row r="7" spans="1:8">
      <c r="A7" s="1" t="s">
        <v>10</v>
      </c>
      <c r="B7" s="2">
        <v>7.354424476623535</v>
      </c>
      <c r="C7" s="1">
        <v>802</v>
      </c>
      <c r="D7" s="1">
        <v>0</v>
      </c>
      <c r="E7" s="1">
        <v>794</v>
      </c>
      <c r="F7" s="1">
        <v>8</v>
      </c>
      <c r="G7" s="1">
        <v>0</v>
      </c>
      <c r="H7" s="1">
        <v>0</v>
      </c>
    </row>
    <row r="8" spans="1:8">
      <c r="A8" s="1" t="s">
        <v>11</v>
      </c>
      <c r="B8" s="2">
        <v>5.923888206481934</v>
      </c>
      <c r="C8" s="1">
        <v>646</v>
      </c>
      <c r="D8" s="1">
        <v>0</v>
      </c>
      <c r="E8" s="1">
        <v>646</v>
      </c>
      <c r="F8" s="1">
        <v>0</v>
      </c>
      <c r="G8" s="1">
        <v>0</v>
      </c>
      <c r="H8" s="1">
        <v>0</v>
      </c>
    </row>
    <row r="9" spans="1:8">
      <c r="A9" s="1" t="s">
        <v>1</v>
      </c>
      <c r="B9" s="2">
        <v>3.888124704360962</v>
      </c>
      <c r="C9" s="1">
        <v>424</v>
      </c>
      <c r="D9" s="1">
        <v>4096</v>
      </c>
      <c r="E9" s="1">
        <v>36</v>
      </c>
      <c r="F9" s="1">
        <v>388</v>
      </c>
      <c r="G9" s="1">
        <v>0</v>
      </c>
      <c r="H9" s="1">
        <v>4096</v>
      </c>
    </row>
    <row r="10" spans="1:8">
      <c r="A10" s="1" t="s">
        <v>12</v>
      </c>
      <c r="B10" s="2">
        <v>3.246217250823975</v>
      </c>
      <c r="C10" s="1">
        <v>354</v>
      </c>
      <c r="D10" s="1">
        <v>0</v>
      </c>
      <c r="E10" s="1">
        <v>354</v>
      </c>
      <c r="F10" s="1">
        <v>0</v>
      </c>
      <c r="G10" s="1">
        <v>0</v>
      </c>
      <c r="H10" s="1">
        <v>0</v>
      </c>
    </row>
    <row r="11" spans="1:8">
      <c r="A11" s="1" t="s">
        <v>13</v>
      </c>
      <c r="B11" s="2">
        <v>3.08115553855896</v>
      </c>
      <c r="C11" s="1">
        <v>336</v>
      </c>
      <c r="D11" s="1">
        <v>0</v>
      </c>
      <c r="E11" s="1">
        <v>336</v>
      </c>
      <c r="F11" s="1">
        <v>0</v>
      </c>
      <c r="G11" s="1">
        <v>0</v>
      </c>
      <c r="H11" s="1">
        <v>0</v>
      </c>
    </row>
    <row r="12" spans="1:8">
      <c r="A12" s="1" t="s">
        <v>6</v>
      </c>
      <c r="B12" s="2">
        <v>2.56762957572937</v>
      </c>
      <c r="C12" s="1">
        <v>280</v>
      </c>
      <c r="D12" s="1">
        <v>4</v>
      </c>
      <c r="E12" s="1">
        <v>276</v>
      </c>
      <c r="F12" s="1">
        <v>0</v>
      </c>
      <c r="G12" s="1">
        <v>4</v>
      </c>
      <c r="H12" s="1">
        <v>0</v>
      </c>
    </row>
    <row r="13" spans="1:8">
      <c r="A13" s="1" t="s">
        <v>14</v>
      </c>
      <c r="B13" s="2">
        <v>2.494268655776978</v>
      </c>
      <c r="C13" s="1">
        <v>272</v>
      </c>
      <c r="D13" s="1">
        <v>0</v>
      </c>
      <c r="E13" s="1">
        <v>272</v>
      </c>
      <c r="F13" s="1">
        <v>0</v>
      </c>
      <c r="G13" s="1">
        <v>0</v>
      </c>
      <c r="H13" s="1">
        <v>0</v>
      </c>
    </row>
    <row r="14" spans="1:8">
      <c r="A14" s="1" t="s">
        <v>15</v>
      </c>
      <c r="B14" s="2">
        <v>1.33883535861969</v>
      </c>
      <c r="C14" s="1">
        <v>146</v>
      </c>
      <c r="D14" s="1">
        <v>0</v>
      </c>
      <c r="E14" s="1">
        <v>146</v>
      </c>
      <c r="F14" s="1">
        <v>0</v>
      </c>
      <c r="G14" s="1">
        <v>0</v>
      </c>
      <c r="H14" s="1">
        <v>0</v>
      </c>
    </row>
    <row r="15" spans="1:8">
      <c r="A15" s="1" t="s">
        <v>7</v>
      </c>
      <c r="B15" s="2">
        <v>1.228794097900391</v>
      </c>
      <c r="C15" s="1">
        <v>134</v>
      </c>
      <c r="D15" s="1">
        <v>1</v>
      </c>
      <c r="E15" s="1">
        <v>134</v>
      </c>
      <c r="F15" s="1">
        <v>0</v>
      </c>
      <c r="G15" s="1">
        <v>0</v>
      </c>
      <c r="H15" s="1">
        <v>1</v>
      </c>
    </row>
    <row r="16" spans="1:8">
      <c r="A16" s="1" t="s">
        <v>5</v>
      </c>
      <c r="B16" s="2">
        <v>1.100412607192993</v>
      </c>
      <c r="C16" s="1">
        <v>120</v>
      </c>
      <c r="D16" s="1">
        <v>4</v>
      </c>
      <c r="E16" s="1">
        <v>120</v>
      </c>
      <c r="F16" s="1">
        <v>0</v>
      </c>
      <c r="G16" s="1">
        <v>0</v>
      </c>
      <c r="H16" s="1">
        <v>4</v>
      </c>
    </row>
    <row r="17" spans="1:8">
      <c r="A17" s="1" t="s">
        <v>16</v>
      </c>
      <c r="B17" s="2">
        <v>0.8803301453590393</v>
      </c>
      <c r="C17" s="1">
        <v>96</v>
      </c>
      <c r="D17" s="1">
        <v>0</v>
      </c>
      <c r="E17" s="1">
        <v>96</v>
      </c>
      <c r="F17" s="1">
        <v>0</v>
      </c>
      <c r="G17" s="1">
        <v>0</v>
      </c>
      <c r="H17" s="1">
        <v>0</v>
      </c>
    </row>
    <row r="18" spans="1:8">
      <c r="A18" s="1" t="s">
        <v>17</v>
      </c>
      <c r="B18" s="2">
        <v>0.5135259032249451</v>
      </c>
      <c r="C18" s="1">
        <v>56</v>
      </c>
      <c r="D18" s="1">
        <v>0</v>
      </c>
      <c r="E18" s="1">
        <v>56</v>
      </c>
      <c r="F18" s="1">
        <v>0</v>
      </c>
      <c r="G18" s="1">
        <v>0</v>
      </c>
      <c r="H18" s="1">
        <v>0</v>
      </c>
    </row>
    <row r="19" spans="1:8">
      <c r="A19" s="1" t="s">
        <v>18</v>
      </c>
      <c r="B19" s="2">
        <v>0.4401650726795197</v>
      </c>
      <c r="C19" s="1">
        <v>48</v>
      </c>
      <c r="D19" s="1">
        <v>0</v>
      </c>
      <c r="E19" s="1">
        <v>48</v>
      </c>
      <c r="F19" s="1">
        <v>0</v>
      </c>
      <c r="G19" s="1">
        <v>0</v>
      </c>
      <c r="H19" s="1">
        <v>0</v>
      </c>
    </row>
    <row r="20" spans="1:8">
      <c r="A20" s="1" t="s">
        <v>19</v>
      </c>
      <c r="B20" s="2">
        <v>0.4401650726795197</v>
      </c>
      <c r="C20" s="1">
        <v>48</v>
      </c>
      <c r="D20" s="1">
        <v>0</v>
      </c>
      <c r="E20" s="1">
        <v>48</v>
      </c>
      <c r="F20" s="1">
        <v>0</v>
      </c>
      <c r="G20" s="1">
        <v>0</v>
      </c>
      <c r="H20" s="1">
        <v>0</v>
      </c>
    </row>
    <row r="21" spans="1:8">
      <c r="A21" s="1" t="s">
        <v>20</v>
      </c>
      <c r="B21" s="2">
        <v>0.4034846425056458</v>
      </c>
      <c r="C21" s="1">
        <v>44</v>
      </c>
      <c r="D21" s="1">
        <v>0</v>
      </c>
      <c r="E21" s="1">
        <v>44</v>
      </c>
      <c r="F21" s="1">
        <v>0</v>
      </c>
      <c r="G21" s="1">
        <v>0</v>
      </c>
      <c r="H21" s="1">
        <v>0</v>
      </c>
    </row>
    <row r="22" spans="1:8">
      <c r="A22" s="1" t="s">
        <v>21</v>
      </c>
      <c r="B22" s="2">
        <v>0.330123782157898</v>
      </c>
      <c r="C22" s="1">
        <v>36</v>
      </c>
      <c r="D22" s="1">
        <v>0</v>
      </c>
      <c r="E22" s="1">
        <v>36</v>
      </c>
      <c r="F22" s="1">
        <v>0</v>
      </c>
      <c r="G22" s="1">
        <v>0</v>
      </c>
      <c r="H22" s="1">
        <v>0</v>
      </c>
    </row>
    <row r="23" spans="1:8">
      <c r="A23" s="1" t="s">
        <v>22</v>
      </c>
      <c r="B23" s="2">
        <v>0.330123782157898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23</v>
      </c>
      <c r="B24" s="2">
        <v>0.330123782157898</v>
      </c>
      <c r="C24" s="1">
        <v>36</v>
      </c>
      <c r="D24" s="1">
        <v>0</v>
      </c>
      <c r="E24" s="1">
        <v>36</v>
      </c>
      <c r="F24" s="1">
        <v>0</v>
      </c>
      <c r="G24" s="1">
        <v>0</v>
      </c>
      <c r="H24" s="1">
        <v>0</v>
      </c>
    </row>
    <row r="25" spans="1:8">
      <c r="A25" s="1" t="s">
        <v>24</v>
      </c>
      <c r="B25" s="2">
        <v>0.3117835819721222</v>
      </c>
      <c r="C25" s="1">
        <v>34</v>
      </c>
      <c r="D25" s="1">
        <v>0</v>
      </c>
      <c r="E25" s="1">
        <v>34</v>
      </c>
      <c r="F25" s="1">
        <v>0</v>
      </c>
      <c r="G25" s="1">
        <v>0</v>
      </c>
      <c r="H25" s="1">
        <v>0</v>
      </c>
    </row>
    <row r="26" spans="1:8">
      <c r="A26" s="1" t="s">
        <v>25</v>
      </c>
      <c r="B26" s="2">
        <v>0.2751031517982483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26</v>
      </c>
      <c r="B27" s="2">
        <v>0.2567629516124725</v>
      </c>
      <c r="C27" s="1">
        <v>28</v>
      </c>
      <c r="D27" s="1">
        <v>0</v>
      </c>
      <c r="E27" s="1">
        <v>28</v>
      </c>
      <c r="F27" s="1">
        <v>0</v>
      </c>
      <c r="G27" s="1">
        <v>0</v>
      </c>
      <c r="H27" s="1">
        <v>0</v>
      </c>
    </row>
    <row r="28" spans="1:8">
      <c r="A28" s="1" t="s">
        <v>27</v>
      </c>
      <c r="B28" s="2">
        <v>0.2384227365255356</v>
      </c>
      <c r="C28" s="1">
        <v>26</v>
      </c>
      <c r="D28" s="1">
        <v>0</v>
      </c>
      <c r="E28" s="1">
        <v>26</v>
      </c>
      <c r="F28" s="1">
        <v>0</v>
      </c>
      <c r="G28" s="1">
        <v>0</v>
      </c>
      <c r="H28" s="1">
        <v>0</v>
      </c>
    </row>
    <row r="29" spans="1:8">
      <c r="A29" s="1" t="s">
        <v>28</v>
      </c>
      <c r="B29" s="2">
        <v>0.2384227365255356</v>
      </c>
      <c r="C29" s="1">
        <v>26</v>
      </c>
      <c r="D29" s="1">
        <v>0</v>
      </c>
      <c r="E29" s="1">
        <v>26</v>
      </c>
      <c r="F29" s="1">
        <v>0</v>
      </c>
      <c r="G29" s="1">
        <v>0</v>
      </c>
      <c r="H29" s="1">
        <v>0</v>
      </c>
    </row>
    <row r="30" spans="1:8">
      <c r="A30" s="1" t="s">
        <v>29</v>
      </c>
      <c r="B30" s="2">
        <v>0.165061891078949</v>
      </c>
      <c r="C30" s="1">
        <v>18</v>
      </c>
      <c r="D30" s="1">
        <v>0</v>
      </c>
      <c r="E30" s="1">
        <v>18</v>
      </c>
      <c r="F30" s="1">
        <v>0</v>
      </c>
      <c r="G30" s="1">
        <v>0</v>
      </c>
      <c r="H30" s="1">
        <v>0</v>
      </c>
    </row>
    <row r="31" spans="1:8">
      <c r="A31" s="1" t="s">
        <v>30</v>
      </c>
      <c r="B31" s="2">
        <v>0.1283814758062363</v>
      </c>
      <c r="C31" s="1">
        <v>14</v>
      </c>
      <c r="D31" s="1">
        <v>0</v>
      </c>
      <c r="E31" s="1">
        <v>14</v>
      </c>
      <c r="F31" s="1">
        <v>0</v>
      </c>
      <c r="G31" s="1">
        <v>0</v>
      </c>
      <c r="H31" s="1">
        <v>0</v>
      </c>
    </row>
    <row r="32" spans="1:8">
      <c r="A32" s="1" t="s">
        <v>31</v>
      </c>
      <c r="B32" s="2">
        <v>0.07336084544658661</v>
      </c>
      <c r="C32" s="1">
        <v>8</v>
      </c>
      <c r="D32" s="1">
        <v>0</v>
      </c>
      <c r="E32" s="1">
        <v>8</v>
      </c>
      <c r="F32" s="1">
        <v>0</v>
      </c>
      <c r="G32" s="1">
        <v>0</v>
      </c>
      <c r="H32" s="1">
        <v>0</v>
      </c>
    </row>
    <row r="33" spans="1:8">
      <c r="A33" s="1" t="s">
        <v>32</v>
      </c>
      <c r="B33" s="2">
        <v>0.07336084544658661</v>
      </c>
      <c r="C33" s="1">
        <v>8</v>
      </c>
      <c r="D33" s="1">
        <v>0</v>
      </c>
      <c r="E33" s="1">
        <v>8</v>
      </c>
      <c r="F33" s="1">
        <v>0</v>
      </c>
      <c r="G33" s="1">
        <v>0</v>
      </c>
      <c r="H33" s="1">
        <v>0</v>
      </c>
    </row>
    <row r="34" spans="1:8">
      <c r="A34" s="1" t="s">
        <v>4</v>
      </c>
      <c r="B34" s="2">
        <v>0.0366804227232933</v>
      </c>
      <c r="C34" s="1">
        <v>4</v>
      </c>
      <c r="D34" s="1">
        <v>4</v>
      </c>
      <c r="E34" s="1">
        <v>0</v>
      </c>
      <c r="F34" s="1">
        <v>0</v>
      </c>
      <c r="G34" s="1">
        <v>4</v>
      </c>
      <c r="H34" s="1">
        <v>0</v>
      </c>
    </row>
    <row r="35" spans="1:8">
      <c r="A35" s="1" t="s">
        <v>33</v>
      </c>
      <c r="B35" s="2">
        <v>0.0366804227232933</v>
      </c>
      <c r="C35" s="1">
        <v>4</v>
      </c>
      <c r="D35" s="1">
        <v>0</v>
      </c>
      <c r="E35" s="1">
        <v>4</v>
      </c>
      <c r="F35" s="1">
        <v>0</v>
      </c>
      <c r="G35" s="1">
        <v>0</v>
      </c>
      <c r="H35" s="1">
        <v>0</v>
      </c>
    </row>
    <row r="36" spans="1:8">
      <c r="A36" t="s">
        <v>35</v>
      </c>
      <c r="B36">
        <f>SUBTOTAL(109,[flash_percent])</f>
        <v>0</v>
      </c>
      <c r="C36">
        <f>SUBTOTAL(109,[flash])</f>
        <v>0</v>
      </c>
      <c r="D36">
        <f>SUBTOTAL(109,[ram])</f>
        <v>0</v>
      </c>
      <c r="E36">
        <f>SUBTOTAL(109,[Code])</f>
        <v>0</v>
      </c>
      <c r="F36">
        <f>SUBTOTAL(109,[RO_data])</f>
        <v>0</v>
      </c>
      <c r="G36">
        <f>SUBTOTAL(109,[RW_data])</f>
        <v>0</v>
      </c>
      <c r="H3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2026-10-12T08:05:07Z</dcterms:created>
  <dcterms:modified xsi:type="dcterms:W3CDTF">2026-10-12T08:05:07Z</dcterms:modified>
</cp:coreProperties>
</file>