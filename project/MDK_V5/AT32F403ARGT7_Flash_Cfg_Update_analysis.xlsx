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<sst xmlns="http://schemas.openxmlformats.org/spreadsheetml/2006/main" count="40" uniqueCount="28">
  <si>
    <t>AT32F403ARGT7_Flash_Cfg_Update</t>
  </si>
  <si>
    <t>startup_at32f403a_407.o</t>
  </si>
  <si>
    <t>wk_system.o</t>
  </si>
  <si>
    <t>system_at32f403a_407.o</t>
  </si>
  <si>
    <t>at32f403a_407_crm.o</t>
  </si>
  <si>
    <t>at32f403a_407_wk_config.o</t>
  </si>
  <si>
    <t>mc_w.l</t>
  </si>
  <si>
    <t>at32f403a_407_gpio.o</t>
  </si>
  <si>
    <t>at32f403a_407_misc.o</t>
  </si>
  <si>
    <t>init.o</t>
  </si>
  <si>
    <t>handlers.o</t>
  </si>
  <si>
    <t>at32f403a_407_pwc.o</t>
  </si>
  <si>
    <t>main.o</t>
  </si>
  <si>
    <t>at32f403a_407_int.o</t>
  </si>
  <si>
    <t>wk_debug.o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</si>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</sst>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ram_percent!$A$3:$A$20</c:f>
              <c:strCache>
                <c:ptCount val="18"/>
                <c:pt idx="0">
                  <c:v>startup_at32f403a_407.o</c:v>
                </c:pt>
                <c:pt idx="1">
                  <c:v>wk_system.o</c:v>
                </c:pt>
                <c:pt idx="2">
                  <c:v>system_at32f403a_407.o</c:v>
                </c:pt>
                <c:pt idx="17">
                  <c:v>Totals</c:v>
                </c:pt>
              </c:strCache>
            </c:strRef>
          </c:cat>
          <c:val>
            <c:numRef>
              <c:f>ram_percent!$B$3:$B$20</c:f>
              <c:numCache>
                <c:formatCode>General</c:formatCode>
                <c:ptCount val="18"/>
                <c:pt idx="0">
                  <c:v>99.22480773925781</c:v>
                </c:pt>
                <c:pt idx="1">
                  <c:v>0.3875969052314758</c:v>
                </c:pt>
                <c:pt idx="2">
                  <c:v>0.3875969052314758</c:v>
                </c:pt>
                <c:pt idx="17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flash_percent!$A$3:$A$20</c:f>
              <c:strCache>
                <c:ptCount val="18"/>
                <c:pt idx="0">
                  <c:v>at32f403a_407_crm.o</c:v>
                </c:pt>
                <c:pt idx="1">
                  <c:v>startup_at32f403a_407.o</c:v>
                </c:pt>
                <c:pt idx="2">
                  <c:v>at32f403a_407_wk_config.o</c:v>
                </c:pt>
                <c:pt idx="3">
                  <c:v>system_at32f403a_407.o</c:v>
                </c:pt>
                <c:pt idx="4">
                  <c:v>mc_w.l</c:v>
                </c:pt>
                <c:pt idx="5">
                  <c:v>wk_system.o</c:v>
                </c:pt>
                <c:pt idx="6">
                  <c:v>at32f403a_407_gpio.o</c:v>
                </c:pt>
                <c:pt idx="7">
                  <c:v>at32f403a_407_misc.o</c:v>
                </c:pt>
                <c:pt idx="8">
                  <c:v>init.o</c:v>
                </c:pt>
                <c:pt idx="9">
                  <c:v>handlers.o</c:v>
                </c:pt>
                <c:pt idx="10">
                  <c:v>at32f403a_407_pwc.o</c:v>
                </c:pt>
                <c:pt idx="11">
                  <c:v>main.o</c:v>
                </c:pt>
                <c:pt idx="12">
                  <c:v>at32f403a_407_int.o</c:v>
                </c:pt>
                <c:pt idx="13">
                  <c:v>wk_debug.o</c:v>
                </c:pt>
                <c:pt idx="14">
                  <c:v>entry9a.o</c:v>
                </c:pt>
                <c:pt idx="15">
                  <c:v>entry2.o</c:v>
                </c:pt>
                <c:pt idx="16">
                  <c:v>entry5.o</c:v>
                </c:pt>
                <c:pt idx="17">
                  <c:v>Totals</c:v>
                </c:pt>
              </c:strCache>
            </c:strRef>
          </c:cat>
          <c:val>
            <c:numRef>
              <c:f>flash_percent!$B$3:$B$20</c:f>
              <c:numCache>
                <c:formatCode>General</c:formatCode>
                <c:ptCount val="18"/>
                <c:pt idx="0">
                  <c:v>35.08311462402344</c:v>
                </c:pt>
                <c:pt idx="1">
                  <c:v>18.54768180847168</c:v>
                </c:pt>
                <c:pt idx="2">
                  <c:v>13.64829349517822</c:v>
                </c:pt>
                <c:pt idx="3">
                  <c:v>12.24846935272217</c:v>
                </c:pt>
                <c:pt idx="4">
                  <c:v>4.286963939666748</c:v>
                </c:pt>
                <c:pt idx="5">
                  <c:v>3.149606227874756</c:v>
                </c:pt>
                <c:pt idx="6">
                  <c:v>2.799649953842163</c:v>
                </c:pt>
                <c:pt idx="7">
                  <c:v>2.44969367980957</c:v>
                </c:pt>
                <c:pt idx="8">
                  <c:v>2.099737644195557</c:v>
                </c:pt>
                <c:pt idx="9">
                  <c:v>1.312335968017578</c:v>
                </c:pt>
                <c:pt idx="10">
                  <c:v>1.137357831001282</c:v>
                </c:pt>
                <c:pt idx="11">
                  <c:v>0.9623796939849854</c:v>
                </c:pt>
                <c:pt idx="12">
                  <c:v>0.787401556968689</c:v>
                </c:pt>
                <c:pt idx="13">
                  <c:v>0.6124234199523926</c:v>
                </c:pt>
                <c:pt idx="14">
                  <c:v>0.3499562442302704</c:v>
                </c:pt>
                <c:pt idx="15">
                  <c:v>0.3499562442302704</c:v>
                </c:pt>
                <c:pt idx="16">
                  <c:v>0.1749781221151352</c:v>
                </c:pt>
                <c:pt idx="17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20" totalsRowCount="1">
  <autoFilter ref="A2:H19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20" totalsRowCount="1">
  <autoFilter ref="A2:H19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18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 spans="1:8">
      <c r="A3" s="1" t="s">
        <v>1</v>
      </c>
      <c r="B3" s="2">
        <v>99.22480773925781</v>
      </c>
      <c r="C3" s="1">
        <v>1024</v>
      </c>
      <c r="D3" s="1">
        <v>424</v>
      </c>
      <c r="E3" s="1">
        <v>36</v>
      </c>
      <c r="F3" s="1">
        <v>388</v>
      </c>
      <c r="G3" s="1">
        <v>0</v>
      </c>
      <c r="H3" s="1">
        <v>1024</v>
      </c>
    </row>
    <row r="4" spans="1:8">
      <c r="A4" s="1" t="s">
        <v>2</v>
      </c>
      <c r="B4" s="2">
        <v>0.3875969052314758</v>
      </c>
      <c r="C4" s="1">
        <v>4</v>
      </c>
      <c r="D4" s="1">
        <v>72</v>
      </c>
      <c r="E4" s="1">
        <v>72</v>
      </c>
      <c r="F4" s="1">
        <v>0</v>
      </c>
      <c r="G4" s="1">
        <v>0</v>
      </c>
      <c r="H4" s="1">
        <v>4</v>
      </c>
    </row>
    <row r="5" spans="1:8">
      <c r="A5" s="1" t="s">
        <v>3</v>
      </c>
      <c r="B5" s="2">
        <v>0.3875969052314758</v>
      </c>
      <c r="C5" s="1">
        <v>4</v>
      </c>
      <c r="D5" s="1">
        <v>280</v>
      </c>
      <c r="E5" s="1">
        <v>276</v>
      </c>
      <c r="F5" s="1">
        <v>0</v>
      </c>
      <c r="G5" s="1">
        <v>4</v>
      </c>
      <c r="H5" s="1">
        <v>0</v>
      </c>
    </row>
    <row r="20" spans="1:8">
      <c r="A20" t="s">
        <v>19</v>
      </c>
      <c r="B20">
        <f>SUBTOTAL(109,[ram_percent])</f>
        <v>0</v>
      </c>
      <c r="C20">
        <f>SUBTOTAL(109,[ram])</f>
        <v>0</v>
      </c>
      <c r="D20">
        <f>SUBTOTAL(109,[flash])</f>
        <v>0</v>
      </c>
      <c r="E20">
        <f>SUBTOTAL(109,[Code])</f>
        <v>0</v>
      </c>
      <c r="F20">
        <f>SUBTOTAL(109,[RO_data])</f>
        <v>0</v>
      </c>
      <c r="G20">
        <f>SUBTOTAL(109,[RW_data])</f>
        <v>0</v>
      </c>
      <c r="H20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18</v>
      </c>
      <c r="B2" t="s">
        <v>27</v>
      </c>
      <c r="C2" t="s">
        <v>22</v>
      </c>
      <c r="D2" t="s">
        <v>21</v>
      </c>
      <c r="E2" t="s">
        <v>23</v>
      </c>
      <c r="F2" t="s">
        <v>24</v>
      </c>
      <c r="G2" t="s">
        <v>25</v>
      </c>
      <c r="H2" t="s">
        <v>26</v>
      </c>
    </row>
    <row r="3" spans="1:8">
      <c r="A3" s="1" t="s">
        <v>4</v>
      </c>
      <c r="B3" s="2">
        <v>35.08311462402344</v>
      </c>
      <c r="C3" s="1">
        <v>802</v>
      </c>
      <c r="D3" s="1">
        <v>0</v>
      </c>
      <c r="E3" s="1">
        <v>794</v>
      </c>
      <c r="F3" s="1">
        <v>8</v>
      </c>
      <c r="G3" s="1">
        <v>0</v>
      </c>
      <c r="H3" s="1">
        <v>0</v>
      </c>
    </row>
    <row r="4" spans="1:8">
      <c r="A4" s="1" t="s">
        <v>1</v>
      </c>
      <c r="B4" s="2">
        <v>18.54768180847168</v>
      </c>
      <c r="C4" s="1">
        <v>424</v>
      </c>
      <c r="D4" s="1">
        <v>1024</v>
      </c>
      <c r="E4" s="1">
        <v>36</v>
      </c>
      <c r="F4" s="1">
        <v>388</v>
      </c>
      <c r="G4" s="1">
        <v>0</v>
      </c>
      <c r="H4" s="1">
        <v>1024</v>
      </c>
    </row>
    <row r="5" spans="1:8">
      <c r="A5" s="1" t="s">
        <v>5</v>
      </c>
      <c r="B5" s="2">
        <v>13.64829349517822</v>
      </c>
      <c r="C5" s="1">
        <v>312</v>
      </c>
      <c r="D5" s="1">
        <v>0</v>
      </c>
      <c r="E5" s="1">
        <v>312</v>
      </c>
      <c r="F5" s="1">
        <v>0</v>
      </c>
      <c r="G5" s="1">
        <v>0</v>
      </c>
      <c r="H5" s="1">
        <v>0</v>
      </c>
    </row>
    <row r="6" spans="1:8">
      <c r="A6" s="1" t="s">
        <v>3</v>
      </c>
      <c r="B6" s="2">
        <v>12.24846935272217</v>
      </c>
      <c r="C6" s="1">
        <v>280</v>
      </c>
      <c r="D6" s="1">
        <v>4</v>
      </c>
      <c r="E6" s="1">
        <v>276</v>
      </c>
      <c r="F6" s="1">
        <v>0</v>
      </c>
      <c r="G6" s="1">
        <v>4</v>
      </c>
      <c r="H6" s="1">
        <v>0</v>
      </c>
    </row>
    <row r="7" spans="1:8">
      <c r="A7" s="1" t="s">
        <v>6</v>
      </c>
      <c r="B7" s="2">
        <v>4.286963939666748</v>
      </c>
      <c r="C7" s="1">
        <v>98</v>
      </c>
      <c r="D7" s="1">
        <v>0</v>
      </c>
      <c r="E7" s="1">
        <v>98</v>
      </c>
      <c r="F7" s="1">
        <v>0</v>
      </c>
      <c r="G7" s="1">
        <v>0</v>
      </c>
      <c r="H7" s="1">
        <v>0</v>
      </c>
    </row>
    <row r="8" spans="1:8">
      <c r="A8" s="1" t="s">
        <v>2</v>
      </c>
      <c r="B8" s="2">
        <v>3.149606227874756</v>
      </c>
      <c r="C8" s="1">
        <v>72</v>
      </c>
      <c r="D8" s="1">
        <v>4</v>
      </c>
      <c r="E8" s="1">
        <v>72</v>
      </c>
      <c r="F8" s="1">
        <v>0</v>
      </c>
      <c r="G8" s="1">
        <v>0</v>
      </c>
      <c r="H8" s="1">
        <v>4</v>
      </c>
    </row>
    <row r="9" spans="1:8">
      <c r="A9" s="1" t="s">
        <v>7</v>
      </c>
      <c r="B9" s="2">
        <v>2.799649953842163</v>
      </c>
      <c r="C9" s="1">
        <v>64</v>
      </c>
      <c r="D9" s="1">
        <v>0</v>
      </c>
      <c r="E9" s="1">
        <v>64</v>
      </c>
      <c r="F9" s="1">
        <v>0</v>
      </c>
      <c r="G9" s="1">
        <v>0</v>
      </c>
      <c r="H9" s="1">
        <v>0</v>
      </c>
    </row>
    <row r="10" spans="1:8">
      <c r="A10" s="1" t="s">
        <v>8</v>
      </c>
      <c r="B10" s="2">
        <v>2.44969367980957</v>
      </c>
      <c r="C10" s="1">
        <v>56</v>
      </c>
      <c r="D10" s="1">
        <v>0</v>
      </c>
      <c r="E10" s="1">
        <v>56</v>
      </c>
      <c r="F10" s="1">
        <v>0</v>
      </c>
      <c r="G10" s="1">
        <v>0</v>
      </c>
      <c r="H10" s="1">
        <v>0</v>
      </c>
    </row>
    <row r="11" spans="1:8">
      <c r="A11" s="1" t="s">
        <v>9</v>
      </c>
      <c r="B11" s="2">
        <v>2.099737644195557</v>
      </c>
      <c r="C11" s="1">
        <v>48</v>
      </c>
      <c r="D11" s="1">
        <v>0</v>
      </c>
      <c r="E11" s="1">
        <v>48</v>
      </c>
      <c r="F11" s="1">
        <v>0</v>
      </c>
      <c r="G11" s="1">
        <v>0</v>
      </c>
      <c r="H11" s="1">
        <v>0</v>
      </c>
    </row>
    <row r="12" spans="1:8">
      <c r="A12" s="1" t="s">
        <v>10</v>
      </c>
      <c r="B12" s="2">
        <v>1.312335968017578</v>
      </c>
      <c r="C12" s="1">
        <v>30</v>
      </c>
      <c r="D12" s="1">
        <v>0</v>
      </c>
      <c r="E12" s="1">
        <v>30</v>
      </c>
      <c r="F12" s="1">
        <v>0</v>
      </c>
      <c r="G12" s="1">
        <v>0</v>
      </c>
      <c r="H12" s="1">
        <v>0</v>
      </c>
    </row>
    <row r="13" spans="1:8">
      <c r="A13" s="1" t="s">
        <v>11</v>
      </c>
      <c r="B13" s="2">
        <v>1.137357831001282</v>
      </c>
      <c r="C13" s="1">
        <v>26</v>
      </c>
      <c r="D13" s="1">
        <v>0</v>
      </c>
      <c r="E13" s="1">
        <v>26</v>
      </c>
      <c r="F13" s="1">
        <v>0</v>
      </c>
      <c r="G13" s="1">
        <v>0</v>
      </c>
      <c r="H13" s="1">
        <v>0</v>
      </c>
    </row>
    <row r="14" spans="1:8">
      <c r="A14" s="1" t="s">
        <v>12</v>
      </c>
      <c r="B14" s="2">
        <v>0.9623796939849854</v>
      </c>
      <c r="C14" s="1">
        <v>22</v>
      </c>
      <c r="D14" s="1">
        <v>0</v>
      </c>
      <c r="E14" s="1">
        <v>22</v>
      </c>
      <c r="F14" s="1">
        <v>0</v>
      </c>
      <c r="G14" s="1">
        <v>0</v>
      </c>
      <c r="H14" s="1">
        <v>0</v>
      </c>
    </row>
    <row r="15" spans="1:8">
      <c r="A15" s="1" t="s">
        <v>13</v>
      </c>
      <c r="B15" s="2">
        <v>0.787401556968689</v>
      </c>
      <c r="C15" s="1">
        <v>18</v>
      </c>
      <c r="D15" s="1">
        <v>0</v>
      </c>
      <c r="E15" s="1">
        <v>18</v>
      </c>
      <c r="F15" s="1">
        <v>0</v>
      </c>
      <c r="G15" s="1">
        <v>0</v>
      </c>
      <c r="H15" s="1">
        <v>0</v>
      </c>
    </row>
    <row r="16" spans="1:8">
      <c r="A16" s="1" t="s">
        <v>14</v>
      </c>
      <c r="B16" s="2">
        <v>0.6124234199523926</v>
      </c>
      <c r="C16" s="1">
        <v>14</v>
      </c>
      <c r="D16" s="1">
        <v>0</v>
      </c>
      <c r="E16" s="1">
        <v>14</v>
      </c>
      <c r="F16" s="1">
        <v>0</v>
      </c>
      <c r="G16" s="1">
        <v>0</v>
      </c>
      <c r="H16" s="1">
        <v>0</v>
      </c>
    </row>
    <row r="17" spans="1:8">
      <c r="A17" s="1" t="s">
        <v>15</v>
      </c>
      <c r="B17" s="2">
        <v>0.3499562442302704</v>
      </c>
      <c r="C17" s="1">
        <v>8</v>
      </c>
      <c r="D17" s="1">
        <v>0</v>
      </c>
      <c r="E17" s="1">
        <v>8</v>
      </c>
      <c r="F17" s="1">
        <v>0</v>
      </c>
      <c r="G17" s="1">
        <v>0</v>
      </c>
      <c r="H17" s="1">
        <v>0</v>
      </c>
    </row>
    <row r="18" spans="1:8">
      <c r="A18" s="1" t="s">
        <v>16</v>
      </c>
      <c r="B18" s="2">
        <v>0.3499562442302704</v>
      </c>
      <c r="C18" s="1">
        <v>8</v>
      </c>
      <c r="D18" s="1">
        <v>0</v>
      </c>
      <c r="E18" s="1">
        <v>8</v>
      </c>
      <c r="F18" s="1">
        <v>0</v>
      </c>
      <c r="G18" s="1">
        <v>0</v>
      </c>
      <c r="H18" s="1">
        <v>0</v>
      </c>
    </row>
    <row r="19" spans="1:8">
      <c r="A19" s="1" t="s">
        <v>17</v>
      </c>
      <c r="B19" s="2">
        <v>0.1749781221151352</v>
      </c>
      <c r="C19" s="1">
        <v>4</v>
      </c>
      <c r="D19" s="1">
        <v>0</v>
      </c>
      <c r="E19" s="1">
        <v>4</v>
      </c>
      <c r="F19" s="1">
        <v>0</v>
      </c>
      <c r="G19" s="1">
        <v>0</v>
      </c>
      <c r="H19" s="1">
        <v>0</v>
      </c>
    </row>
    <row r="20" spans="1:8">
      <c r="A20" t="s">
        <v>19</v>
      </c>
      <c r="B20">
        <f>SUBTOTAL(109,[flash_percent])</f>
        <v>0</v>
      </c>
      <c r="C20">
        <f>SUBTOTAL(109,[flash])</f>
        <v>0</v>
      </c>
      <c r="D20">
        <f>SUBTOTAL(109,[ram])</f>
        <v>0</v>
      </c>
      <c r="E20">
        <f>SUBTOTAL(109,[Code])</f>
        <v>0</v>
      </c>
      <c r="F20">
        <f>SUBTOTAL(109,[RO_data])</f>
        <v>0</v>
      </c>
      <c r="G20">
        <f>SUBTOTAL(109,[RW_data])</f>
        <v>0</v>
      </c>
      <c r="H20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2026-10-10T07:00:20Z</dcterms:created>
  <dcterms:modified xsi:type="dcterms:W3CDTF">2026-10-10T07:00:20Z</dcterms:modified>
</cp:coreProperties>
</file>